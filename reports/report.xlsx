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DDB0F0F7-2569-49EC-8F8A-41F31E07078E}" xr6:coauthVersionLast="47" xr6:coauthVersionMax="47" xr10:uidLastSave="{00000000-0000-0000-0000-000000000000}"/>
  <bookViews>
    <workbookView minimized="1" xWindow="33210" yWindow="4740" windowWidth="13830" windowHeight="7965" tabRatio="500" activeTab="1" xr2:uid="{00000000-000D-0000-FFFF-FFFF00000000}"/>
  </bookViews>
  <sheets>
    <sheet name="Fee Collection Tracker" sheetId="1" r:id="rId1"/>
    <sheet name="Population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D24" i="2" l="1"/>
  <c r="B12" i="1" s="1"/>
  <c r="D15" i="2"/>
  <c r="D7" i="2"/>
  <c r="G40" i="1"/>
  <c r="F40" i="1"/>
  <c r="E27" i="1"/>
  <c r="H26" i="1"/>
  <c r="G26" i="1"/>
  <c r="F26" i="1"/>
  <c r="B26" i="1"/>
  <c r="D26" i="1" s="1"/>
  <c r="H25" i="1"/>
  <c r="G25" i="1"/>
  <c r="F25" i="1"/>
  <c r="B25" i="1"/>
  <c r="D25" i="1" s="1"/>
  <c r="H24" i="1"/>
  <c r="G24" i="1"/>
  <c r="F24" i="1"/>
  <c r="B24" i="1"/>
  <c r="E20" i="1"/>
  <c r="H19" i="1"/>
  <c r="G19" i="1"/>
  <c r="F19" i="1"/>
  <c r="B19" i="1"/>
  <c r="D19" i="1" s="1"/>
  <c r="H18" i="1"/>
  <c r="G18" i="1"/>
  <c r="F18" i="1"/>
  <c r="B18" i="1"/>
  <c r="D18" i="1" s="1"/>
  <c r="H17" i="1"/>
  <c r="G17" i="1"/>
  <c r="F17" i="1"/>
  <c r="B17" i="1"/>
  <c r="E13" i="1"/>
  <c r="H12" i="1"/>
  <c r="G12" i="1"/>
  <c r="F12" i="1"/>
  <c r="H11" i="1"/>
  <c r="G11" i="1"/>
  <c r="F11" i="1"/>
  <c r="B11" i="1"/>
  <c r="D11" i="1" s="1"/>
  <c r="H10" i="1"/>
  <c r="G10" i="1"/>
  <c r="F10" i="1"/>
  <c r="D25" i="2" l="1"/>
  <c r="B10" i="1"/>
  <c r="D10" i="1" s="1"/>
  <c r="D24" i="1"/>
  <c r="D27" i="1" s="1"/>
  <c r="B27" i="1"/>
  <c r="D12" i="1"/>
  <c r="B13" i="1"/>
  <c r="E40" i="1"/>
  <c r="H40" i="1" s="1"/>
  <c r="E33" i="1"/>
  <c r="H27" i="1"/>
  <c r="G27" i="1"/>
  <c r="F27" i="1"/>
  <c r="D33" i="1"/>
  <c r="F33" i="1" s="1"/>
  <c r="D40" i="1"/>
  <c r="E39" i="1"/>
  <c r="H20" i="1"/>
  <c r="G20" i="1"/>
  <c r="E32" i="1"/>
  <c r="B20" i="1"/>
  <c r="D17" i="1"/>
  <c r="D20" i="1" s="1"/>
  <c r="H13" i="1"/>
  <c r="E38" i="1"/>
  <c r="E31" i="1"/>
  <c r="G13" i="1"/>
  <c r="D13" i="1" l="1"/>
  <c r="F13" i="1"/>
  <c r="D31" i="1"/>
  <c r="D38" i="1"/>
  <c r="G38" i="1" s="1"/>
  <c r="G33" i="1"/>
  <c r="H33" i="1"/>
  <c r="H39" i="1"/>
  <c r="F39" i="1"/>
  <c r="G32" i="1"/>
  <c r="H32" i="1"/>
  <c r="F20" i="1"/>
  <c r="D32" i="1"/>
  <c r="F32" i="1" s="1"/>
  <c r="D39" i="1"/>
  <c r="G39" i="1" s="1"/>
  <c r="F38" i="1"/>
  <c r="H38" i="1"/>
  <c r="G31" i="1"/>
  <c r="H31" i="1"/>
  <c r="E34" i="1"/>
  <c r="F31" i="1" l="1"/>
  <c r="F34" i="1" s="1"/>
  <c r="D34" i="1"/>
  <c r="G34" i="1"/>
  <c r="H34" i="1"/>
</calcChain>
</file>

<file path=xl/sharedStrings.xml><?xml version="1.0" encoding="utf-8"?>
<sst xmlns="http://schemas.openxmlformats.org/spreadsheetml/2006/main" count="129" uniqueCount="80">
  <si>
    <t>ST. FRANCIS OF ASSISI PRIVATE SCHOOL</t>
  </si>
  <si>
    <t>For God And Country</t>
  </si>
  <si>
    <t>TERMLY FEE COLLECTION TRACKER - 2026</t>
  </si>
  <si>
    <t>Enter actual amounts collected in the yellow cells. Everything else calculates automatically.</t>
  </si>
  <si>
    <t>TERM 1 - 2026</t>
  </si>
  <si>
    <t>Section</t>
  </si>
  <si>
    <t>Pupils</t>
  </si>
  <si>
    <t>Fee per Pupil (ZMW)</t>
  </si>
  <si>
    <t>Expected (ZMW)</t>
  </si>
  <si>
    <t>Actual Collected (ZMW)</t>
  </si>
  <si>
    <t>Shortfall (ZMW)</t>
  </si>
  <si>
    <t>% Collected</t>
  </si>
  <si>
    <t>% Loss</t>
  </si>
  <si>
    <t>ECE (Pre-School)</t>
  </si>
  <si>
    <t>Primary</t>
  </si>
  <si>
    <t>Secondary</t>
  </si>
  <si>
    <t>TOTAL</t>
  </si>
  <si>
    <t>TERM 2 - 2026</t>
  </si>
  <si>
    <t>TERM 3 - 2026</t>
  </si>
  <si>
    <t>ANNUAL SUMMARY - ALL THREE TERMS</t>
  </si>
  <si>
    <t>Actual (ZMW)</t>
  </si>
  <si>
    <t>TERM 1</t>
  </si>
  <si>
    <t>TERM 2</t>
  </si>
  <si>
    <t>TERM 3</t>
  </si>
  <si>
    <t>YEAR TOTAL</t>
  </si>
  <si>
    <t>CAN COLLECTIONS COVER SALARIES?  (main expense check)</t>
  </si>
  <si>
    <t>Salary Bill (ZMW)</t>
  </si>
  <si>
    <t>Expected Fees (ZMW)</t>
  </si>
  <si>
    <t>Actual Fees (ZMW)</t>
  </si>
  <si>
    <t>Surplus after Salaries (ZMW)</t>
  </si>
  <si>
    <t>Salaries as % of Expected</t>
  </si>
  <si>
    <t>Salaries as % of Actual</t>
  </si>
  <si>
    <t>Jan-Apr actual from financial report</t>
  </si>
  <si>
    <t>May-Jul from report - add August when paid</t>
  </si>
  <si>
    <t>Enter when known</t>
  </si>
  <si>
    <t>SCHOOL POPULATION BY CLASS - 2026</t>
  </si>
  <si>
    <t>Class</t>
  </si>
  <si>
    <t>Class Teacher</t>
  </si>
  <si>
    <t>Enrolment</t>
  </si>
  <si>
    <t>ECE</t>
  </si>
  <si>
    <t>Baby Class - A</t>
  </si>
  <si>
    <t>Monica Mpoya</t>
  </si>
  <si>
    <t>Middle Class - A</t>
  </si>
  <si>
    <t>Memory Chomba</t>
  </si>
  <si>
    <t>Reception - A</t>
  </si>
  <si>
    <t>Mwilu Dorcas</t>
  </si>
  <si>
    <t>ECE TOTAL</t>
  </si>
  <si>
    <t>Grade 1 - A</t>
  </si>
  <si>
    <t>Musa Doris</t>
  </si>
  <si>
    <t>Grade 2 - A</t>
  </si>
  <si>
    <t>Mwaba Tisatenji</t>
  </si>
  <si>
    <t>Grade 3 - A</t>
  </si>
  <si>
    <t>Gift Zunda</t>
  </si>
  <si>
    <t>Grade 4 - A</t>
  </si>
  <si>
    <t>Musakanya Mutale</t>
  </si>
  <si>
    <t>Grade 5 - A</t>
  </si>
  <si>
    <t>Agness Mukupa</t>
  </si>
  <si>
    <t>Grade 6 - A</t>
  </si>
  <si>
    <t>Sinyangwe Euell</t>
  </si>
  <si>
    <t>Grade 7 - A</t>
  </si>
  <si>
    <t>Zimba Geofrey</t>
  </si>
  <si>
    <t>PRIMARY TOTAL</t>
  </si>
  <si>
    <t>Form 1 - A</t>
  </si>
  <si>
    <t>Robert Sikazwe</t>
  </si>
  <si>
    <t>Form 1 - B</t>
  </si>
  <si>
    <t>Denny Nkombalume</t>
  </si>
  <si>
    <t>Form 2 - Achievers</t>
  </si>
  <si>
    <t>Miss Mukoma</t>
  </si>
  <si>
    <t>Form 2 - Success</t>
  </si>
  <si>
    <t>Nancy Ponga</t>
  </si>
  <si>
    <t>Grade 10 - A</t>
  </si>
  <si>
    <t>Phiri Doreen</t>
  </si>
  <si>
    <t>Grade 11 - Camillia</t>
  </si>
  <si>
    <t>Mutelo Julius</t>
  </si>
  <si>
    <t>Grade 11 - Violet</t>
  </si>
  <si>
    <t>Lubinda Godwin</t>
  </si>
  <si>
    <t>Grade 12 - Ivy</t>
  </si>
  <si>
    <t>Memory Chimba</t>
  </si>
  <si>
    <t>SECONDARY TOTAL</t>
  </si>
  <si>
    <t>SCHOOL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</si>
</sst>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;\(#,##0\);\-"/>
    <numFmt numFmtId="165" formatCode="0.0%"/>
  </numFmts>
  <fonts count="10" x14ac:knownFonts="1">
    <font>
      <sz val="11"/>
      <color theme="1"/>
      <name val="Calibri"/>
      <family val="2"/>
      <charset val="1"/>
    </font>
    <font>
      <b/>
      <sz val="14"/>
      <color rgb="FF1F3864"/>
      <name val="Arial"/>
      <charset val="1"/>
    </font>
    <font>
      <i/>
      <sz val="10"/>
      <color rgb="FFC00000"/>
      <name val="Arial"/>
      <charset val="1"/>
    </font>
    <font>
      <b/>
      <sz val="12"/>
      <name val="Arial"/>
      <charset val="1"/>
    </font>
    <font>
      <i/>
      <sz val="9"/>
      <name val="Arial"/>
      <charset val="1"/>
    </font>
    <font>
      <b/>
      <sz val="11"/>
      <color rgb="FFFFFFFF"/>
      <name val="Arial"/>
      <charset val="1"/>
    </font>
    <font>
      <b/>
      <sz val="10"/>
      <color rgb="FFFFFFFF"/>
      <name val="Arial"/>
      <charset val="1"/>
    </font>
    <font>
      <sz val="10"/>
      <name val="Arial"/>
      <charset val="1"/>
    </font>
    <font>
      <b/>
      <sz val="10"/>
      <name val="Arial"/>
      <charset val="1"/>
    </font>
    <font>
      <b/>
      <sz val="13"/>
      <color rgb="FFFFFFFF"/>
      <name val="Arial"/>
      <charset val="1"/>
    </font>
  </fonts>
  <fills count="9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2E5496"/>
        <bgColor rgb="FF1F3864"/>
      </patternFill>
    </fill>
    <fill>
      <patternFill patternType="solid">
        <fgColor rgb="FFFFFF00"/>
        <bgColor rgb="FFFFFF00"/>
      </patternFill>
    </fill>
    <fill>
      <patternFill patternType="solid">
        <fgColor rgb="FFF2F2F2"/>
        <bgColor rgb="FFE2EFDA"/>
      </patternFill>
    </fill>
    <fill>
      <patternFill patternType="solid">
        <fgColor rgb="FFFBE5D6"/>
        <bgColor rgb="FFF2F2F2"/>
      </patternFill>
    </fill>
    <fill>
      <patternFill patternType="solid">
        <fgColor rgb="FFDEEAF6"/>
        <bgColor rgb="FFE2EFDA"/>
      </patternFill>
    </fill>
    <fill>
      <patternFill patternType="solid">
        <fgColor rgb="FFE2EFDA"/>
        <bgColor rgb="FFDEEAF6"/>
      </patternFill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double">
        <color auto="1"/>
      </top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9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left" vertical="center" indent="1"/>
    </xf>
    <xf numFmtId="0" fontId="4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6" fillId="3" borderId="1" xfId="0" applyFont="1" applyFill="1" applyBorder="1" applyAlignment="1">
      <alignment horizontal="center" vertical="center" wrapText="1"/>
    </xf>
    <xf numFmtId="0" fontId="7" fillId="0" borderId="1" xfId="0" applyFont="1" applyBorder="1"/>
    <xf numFmtId="164" fontId="7" fillId="0" borderId="1" xfId="0" applyNumberFormat="1" applyFont="1" applyBorder="1"/>
    <xf numFmtId="164" fontId="7" fillId="4" borderId="1" xfId="0" applyNumberFormat="1" applyFont="1" applyFill="1" applyBorder="1"/>
    <xf numFmtId="165" fontId="7" fillId="0" borderId="1" xfId="0" applyNumberFormat="1" applyFont="1" applyBorder="1"/>
    <xf numFmtId="0" fontId="8" fillId="5" borderId="1" xfId="0" applyFont="1" applyFill="1" applyBorder="1"/>
    <xf numFmtId="164" fontId="8" fillId="5" borderId="1" xfId="0" applyNumberFormat="1" applyFont="1" applyFill="1" applyBorder="1"/>
    <xf numFmtId="165" fontId="8" fillId="5" borderId="1" xfId="0" applyNumberFormat="1" applyFont="1" applyFill="1" applyBorder="1"/>
    <xf numFmtId="0" fontId="0" fillId="0" borderId="1" xfId="0" applyBorder="1"/>
    <xf numFmtId="0" fontId="6" fillId="3" borderId="1" xfId="0" applyFont="1" applyFill="1" applyBorder="1" applyAlignment="1">
      <alignment horizontal="center" wrapText="1"/>
    </xf>
    <xf numFmtId="164" fontId="0" fillId="0" borderId="1" xfId="0" applyNumberFormat="1" applyBorder="1"/>
    <xf numFmtId="165" fontId="0" fillId="0" borderId="1" xfId="0" applyNumberFormat="1" applyBorder="1"/>
    <xf numFmtId="164" fontId="0" fillId="4" borderId="1" xfId="0" applyNumberFormat="1" applyFill="1" applyBorder="1"/>
    <xf numFmtId="0" fontId="4" fillId="0" borderId="1" xfId="0" applyFont="1" applyBorder="1"/>
    <xf numFmtId="0" fontId="6" fillId="3" borderId="1" xfId="0" applyFont="1" applyFill="1" applyBorder="1" applyAlignment="1">
      <alignment horizontal="center"/>
    </xf>
    <xf numFmtId="0" fontId="7" fillId="6" borderId="1" xfId="0" applyFont="1" applyFill="1" applyBorder="1"/>
    <xf numFmtId="0" fontId="0" fillId="5" borderId="1" xfId="0" applyFill="1" applyBorder="1"/>
    <xf numFmtId="0" fontId="7" fillId="7" borderId="1" xfId="0" applyFont="1" applyFill="1" applyBorder="1"/>
    <xf numFmtId="0" fontId="7" fillId="8" borderId="1" xfId="0" applyFont="1" applyFill="1" applyBorder="1"/>
    <xf numFmtId="0" fontId="0" fillId="0" borderId="2" xfId="0" applyBorder="1"/>
    <xf numFmtId="0" fontId="8" fillId="0" borderId="2" xfId="0" applyFont="1" applyBorder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2F2F2"/>
      <rgbColor rgb="FFDEEAF6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BE5D6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2E5496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285000</xdr:colOff>
      <xdr:row>5</xdr:row>
      <xdr:rowOff>151560</xdr:rowOff>
    </xdr:to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0" y="0"/>
          <a:ext cx="1428120" cy="1151640"/>
        </a:xfrm>
        <a:prstGeom prst="rect">
          <a:avLst/>
        </a:prstGeom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40"/>
  <sheetViews>
    <sheetView topLeftCell="A15" zoomScaleNormal="100" workbookViewId="0">
      <selection activeCell="C45" sqref="C45"/>
    </sheetView>
  </sheetViews>
  <sheetFormatPr defaultColWidth="8.6640625" defaultRowHeight="14.4" x14ac:dyDescent="0.3"/>
  <cols>
    <col min="1" max="1" width="16" customWidth="1"/>
    <col min="2" max="2" width="9" customWidth="1"/>
    <col min="3" max="3" width="12.33203125" customWidth="1"/>
    <col min="4" max="4" width="12.5546875" customWidth="1"/>
    <col min="5" max="5" width="15.77734375" customWidth="1"/>
    <col min="6" max="6" width="12.21875" customWidth="1"/>
    <col min="7" max="7" width="10.21875" customWidth="1"/>
    <col min="8" max="8" width="10.44140625" customWidth="1"/>
  </cols>
  <sheetData>
    <row r="1" spans="1:8" ht="15.75" customHeight="1" x14ac:dyDescent="0.3"/>
    <row r="2" spans="1:8" ht="15.75" customHeight="1" x14ac:dyDescent="0.3">
      <c r="C2" s="6" t="s">
        <v>0</v>
      </c>
      <c r="D2" s="6"/>
      <c r="E2" s="6"/>
      <c r="F2" s="6"/>
      <c r="G2" s="6"/>
      <c r="H2" s="6"/>
    </row>
    <row r="3" spans="1:8" ht="15.75" customHeight="1" x14ac:dyDescent="0.3">
      <c r="C3" s="5" t="s">
        <v>1</v>
      </c>
      <c r="D3" s="5"/>
      <c r="E3" s="5"/>
      <c r="F3" s="5"/>
      <c r="G3" s="5"/>
      <c r="H3" s="5"/>
    </row>
    <row r="4" spans="1:8" ht="15.75" customHeight="1" x14ac:dyDescent="0.3">
      <c r="C4" s="4" t="s">
        <v>2</v>
      </c>
      <c r="D4" s="4"/>
      <c r="E4" s="4"/>
      <c r="F4" s="4"/>
      <c r="G4" s="4"/>
      <c r="H4" s="4"/>
    </row>
    <row r="5" spans="1:8" ht="15.75" customHeight="1" x14ac:dyDescent="0.3">
      <c r="C5" s="3" t="s">
        <v>3</v>
      </c>
      <c r="D5" s="3"/>
      <c r="E5" s="3"/>
      <c r="F5" s="3"/>
      <c r="G5" s="3"/>
      <c r="H5" s="3"/>
    </row>
    <row r="6" spans="1:8" ht="15.75" customHeight="1" x14ac:dyDescent="0.3"/>
    <row r="8" spans="1:8" ht="19.5" customHeight="1" x14ac:dyDescent="0.3">
      <c r="A8" s="2" t="s">
        <v>4</v>
      </c>
      <c r="B8" s="2"/>
      <c r="C8" s="2"/>
      <c r="D8" s="2"/>
      <c r="E8" s="2"/>
      <c r="F8" s="2"/>
      <c r="G8" s="2"/>
      <c r="H8" s="2"/>
    </row>
    <row r="9" spans="1:8" ht="27.75" customHeight="1" x14ac:dyDescent="0.3">
      <c r="A9" s="7" t="s">
        <v>5</v>
      </c>
      <c r="B9" s="7" t="s">
        <v>6</v>
      </c>
      <c r="C9" s="7" t="s">
        <v>7</v>
      </c>
      <c r="D9" s="7" t="s">
        <v>8</v>
      </c>
      <c r="E9" s="7" t="s">
        <v>9</v>
      </c>
      <c r="F9" s="7" t="s">
        <v>10</v>
      </c>
      <c r="G9" s="7" t="s">
        <v>11</v>
      </c>
      <c r="H9" s="7" t="s">
        <v>12</v>
      </c>
    </row>
    <row r="10" spans="1:8" ht="15" customHeight="1" x14ac:dyDescent="0.3">
      <c r="A10" s="8" t="s">
        <v>13</v>
      </c>
      <c r="B10" s="8">
        <f>Population!D7</f>
        <v>100</v>
      </c>
      <c r="C10" s="9">
        <v>1900</v>
      </c>
      <c r="D10" s="9">
        <f>B10*C10</f>
        <v>190000</v>
      </c>
      <c r="E10" s="10"/>
      <c r="F10" s="9" t="str">
        <f>IF(E10="","",D10-E10)</f>
        <v/>
      </c>
      <c r="G10" s="11" t="str">
        <f>IF(E10="","",E10/D10)</f>
        <v/>
      </c>
      <c r="H10" s="11" t="str">
        <f>IF(E10="","",1-E10/D10)</f>
        <v/>
      </c>
    </row>
    <row r="11" spans="1:8" ht="15" customHeight="1" x14ac:dyDescent="0.3">
      <c r="A11" s="8" t="s">
        <v>14</v>
      </c>
      <c r="B11" s="8">
        <f>Population!D15</f>
        <v>220</v>
      </c>
      <c r="C11" s="9">
        <v>2250</v>
      </c>
      <c r="D11" s="9">
        <f>B11*C11</f>
        <v>495000</v>
      </c>
      <c r="E11" s="10"/>
      <c r="F11" s="9" t="str">
        <f>IF(E11="","",D11-E11)</f>
        <v/>
      </c>
      <c r="G11" s="11" t="str">
        <f>IF(E11="","",E11/D11)</f>
        <v/>
      </c>
      <c r="H11" s="11" t="str">
        <f>IF(E11="","",1-E11/D11)</f>
        <v/>
      </c>
    </row>
    <row r="12" spans="1:8" ht="15" customHeight="1" x14ac:dyDescent="0.3">
      <c r="A12" s="8" t="s">
        <v>15</v>
      </c>
      <c r="B12" s="8">
        <f>Population!D24</f>
        <v>163</v>
      </c>
      <c r="C12" s="9">
        <v>3000</v>
      </c>
      <c r="D12" s="9">
        <f>B12*C12</f>
        <v>489000</v>
      </c>
      <c r="E12" s="10"/>
      <c r="F12" s="9" t="str">
        <f>IF(E12="","",D12-E12)</f>
        <v/>
      </c>
      <c r="G12" s="11" t="str">
        <f>IF(E12="","",E12/D12)</f>
        <v/>
      </c>
      <c r="H12" s="11" t="str">
        <f>IF(E12="","",1-E12/D12)</f>
        <v/>
      </c>
    </row>
    <row r="13" spans="1:8" ht="15" customHeight="1" x14ac:dyDescent="0.3">
      <c r="A13" s="12" t="s">
        <v>16</v>
      </c>
      <c r="B13" s="12">
        <f>SUM(B10:B12)</f>
        <v>483</v>
      </c>
      <c r="C13" s="12"/>
      <c r="D13" s="13">
        <f>SUM(D10:D12)</f>
        <v>1174000</v>
      </c>
      <c r="E13" s="13">
        <f>SUM(E10:E12)</f>
        <v>0</v>
      </c>
      <c r="F13" s="13">
        <f>D13-E13</f>
        <v>1174000</v>
      </c>
      <c r="G13" s="14" t="str">
        <f>IF(E13=0,"",E13/D13)</f>
        <v/>
      </c>
      <c r="H13" s="14" t="str">
        <f>IF(E13=0,"",1-E13/D13)</f>
        <v/>
      </c>
    </row>
    <row r="15" spans="1:8" ht="19.5" customHeight="1" x14ac:dyDescent="0.3">
      <c r="A15" s="2" t="s">
        <v>17</v>
      </c>
      <c r="B15" s="2"/>
      <c r="C15" s="2"/>
      <c r="D15" s="2"/>
      <c r="E15" s="2"/>
      <c r="F15" s="2"/>
      <c r="G15" s="2"/>
      <c r="H15" s="2"/>
    </row>
    <row r="16" spans="1:8" ht="27.75" customHeight="1" x14ac:dyDescent="0.3">
      <c r="A16" s="7" t="s">
        <v>5</v>
      </c>
      <c r="B16" s="7" t="s">
        <v>6</v>
      </c>
      <c r="C16" s="7" t="s">
        <v>7</v>
      </c>
      <c r="D16" s="7" t="s">
        <v>8</v>
      </c>
      <c r="E16" s="7" t="s">
        <v>9</v>
      </c>
      <c r="F16" s="7" t="s">
        <v>10</v>
      </c>
      <c r="G16" s="7" t="s">
        <v>11</v>
      </c>
      <c r="H16" s="7" t="s">
        <v>12</v>
      </c>
    </row>
    <row r="17" spans="1:8" ht="15" customHeight="1" x14ac:dyDescent="0.3">
      <c r="A17" s="8" t="s">
        <v>13</v>
      </c>
      <c r="B17" s="8">
        <f>Population!D7</f>
        <v>100</v>
      </c>
      <c r="C17" s="9">
        <v>1900</v>
      </c>
      <c r="D17" s="9">
        <f>B17*C17</f>
        <v>190000</v>
      </c>
      <c r="E17" s="10"/>
      <c r="F17" s="9" t="str">
        <f>IF(E17="","",D17-E17)</f>
        <v/>
      </c>
      <c r="G17" s="11" t="str">
        <f>IF(E17="","",E17/D17)</f>
        <v/>
      </c>
      <c r="H17" s="11" t="str">
        <f>IF(E17="","",1-E17/D17)</f>
        <v/>
      </c>
    </row>
    <row r="18" spans="1:8" ht="15" customHeight="1" x14ac:dyDescent="0.3">
      <c r="A18" s="8" t="s">
        <v>14</v>
      </c>
      <c r="B18" s="8">
        <f>Population!D15</f>
        <v>220</v>
      </c>
      <c r="C18" s="9">
        <v>2250</v>
      </c>
      <c r="D18" s="9">
        <f>B18*C18</f>
        <v>495000</v>
      </c>
      <c r="E18" s="10"/>
      <c r="F18" s="9" t="str">
        <f>IF(E18="","",D18-E18)</f>
        <v/>
      </c>
      <c r="G18" s="11" t="str">
        <f>IF(E18="","",E18/D18)</f>
        <v/>
      </c>
      <c r="H18" s="11" t="str">
        <f>IF(E18="","",1-E18/D18)</f>
        <v/>
      </c>
    </row>
    <row r="19" spans="1:8" ht="15" customHeight="1" x14ac:dyDescent="0.3">
      <c r="A19" s="8" t="s">
        <v>15</v>
      </c>
      <c r="B19" s="8">
        <f>Population!D24</f>
        <v>163</v>
      </c>
      <c r="C19" s="9">
        <v>3000</v>
      </c>
      <c r="D19" s="9">
        <f>B19*C19</f>
        <v>489000</v>
      </c>
      <c r="E19" s="10"/>
      <c r="F19" s="9" t="str">
        <f>IF(E19="","",D19-E19)</f>
        <v/>
      </c>
      <c r="G19" s="11" t="str">
        <f>IF(E19="","",E19/D19)</f>
        <v/>
      </c>
      <c r="H19" s="11" t="str">
        <f>IF(E19="","",1-E19/D19)</f>
        <v/>
      </c>
    </row>
    <row r="20" spans="1:8" ht="15" customHeight="1" x14ac:dyDescent="0.3">
      <c r="A20" s="12" t="s">
        <v>16</v>
      </c>
      <c r="B20" s="12">
        <f>SUM(B17:B19)</f>
        <v>483</v>
      </c>
      <c r="C20" s="12"/>
      <c r="D20" s="13">
        <f>SUM(D17:D19)</f>
        <v>1174000</v>
      </c>
      <c r="E20" s="13">
        <f>SUM(E17:E19)</f>
        <v>0</v>
      </c>
      <c r="F20" s="13">
        <f>D20-E20</f>
        <v>1174000</v>
      </c>
      <c r="G20" s="14" t="str">
        <f>IF(E20=0,"",E20/D20)</f>
        <v/>
      </c>
      <c r="H20" s="14" t="str">
        <f>IF(E20=0,"",1-E20/D20)</f>
        <v/>
      </c>
    </row>
    <row r="22" spans="1:8" ht="19.5" customHeight="1" x14ac:dyDescent="0.3">
      <c r="A22" s="2" t="s">
        <v>18</v>
      </c>
      <c r="B22" s="2"/>
      <c r="C22" s="2"/>
      <c r="D22" s="2"/>
      <c r="E22" s="2"/>
      <c r="F22" s="2"/>
      <c r="G22" s="2"/>
      <c r="H22" s="2"/>
    </row>
    <row r="23" spans="1:8" ht="27.75" customHeight="1" x14ac:dyDescent="0.3">
      <c r="A23" s="7" t="s">
        <v>5</v>
      </c>
      <c r="B23" s="7" t="s">
        <v>6</v>
      </c>
      <c r="C23" s="7" t="s">
        <v>7</v>
      </c>
      <c r="D23" s="7" t="s">
        <v>8</v>
      </c>
      <c r="E23" s="7" t="s">
        <v>9</v>
      </c>
      <c r="F23" s="7" t="s">
        <v>10</v>
      </c>
      <c r="G23" s="7" t="s">
        <v>11</v>
      </c>
      <c r="H23" s="7" t="s">
        <v>12</v>
      </c>
    </row>
    <row r="24" spans="1:8" ht="15" customHeight="1" x14ac:dyDescent="0.3">
      <c r="A24" s="8" t="s">
        <v>13</v>
      </c>
      <c r="B24" s="8">
        <f>Population!D7</f>
        <v>100</v>
      </c>
      <c r="C24" s="9">
        <v>1900</v>
      </c>
      <c r="D24" s="9">
        <f>B24*C24</f>
        <v>190000</v>
      </c>
      <c r="E24" s="10"/>
      <c r="F24" s="9" t="str">
        <f>IF(E24="","",D24-E24)</f>
        <v/>
      </c>
      <c r="G24" s="11" t="str">
        <f>IF(E24="","",E24/D24)</f>
        <v/>
      </c>
      <c r="H24" s="11" t="str">
        <f>IF(E24="","",1-E24/D24)</f>
        <v/>
      </c>
    </row>
    <row r="25" spans="1:8" ht="15" customHeight="1" x14ac:dyDescent="0.3">
      <c r="A25" s="8" t="s">
        <v>14</v>
      </c>
      <c r="B25" s="8">
        <f>Population!D15</f>
        <v>220</v>
      </c>
      <c r="C25" s="9">
        <v>2250</v>
      </c>
      <c r="D25" s="9">
        <f>B25*C25</f>
        <v>495000</v>
      </c>
      <c r="E25" s="10"/>
      <c r="F25" s="9" t="str">
        <f>IF(E25="","",D25-E25)</f>
        <v/>
      </c>
      <c r="G25" s="11" t="str">
        <f>IF(E25="","",E25/D25)</f>
        <v/>
      </c>
      <c r="H25" s="11" t="str">
        <f>IF(E25="","",1-E25/D25)</f>
        <v/>
      </c>
    </row>
    <row r="26" spans="1:8" ht="15" customHeight="1" x14ac:dyDescent="0.3">
      <c r="A26" s="8" t="s">
        <v>15</v>
      </c>
      <c r="B26" s="8">
        <f>Population!D24</f>
        <v>163</v>
      </c>
      <c r="C26" s="9">
        <v>3000</v>
      </c>
      <c r="D26" s="9">
        <f>B26*C26</f>
        <v>489000</v>
      </c>
      <c r="E26" s="10"/>
      <c r="F26" s="9" t="str">
        <f>IF(E26="","",D26-E26)</f>
        <v/>
      </c>
      <c r="G26" s="11" t="str">
        <f>IF(E26="","",E26/D26)</f>
        <v/>
      </c>
      <c r="H26" s="11" t="str">
        <f>IF(E26="","",1-E26/D26)</f>
        <v/>
      </c>
    </row>
    <row r="27" spans="1:8" ht="15" customHeight="1" x14ac:dyDescent="0.3">
      <c r="A27" s="12" t="s">
        <v>16</v>
      </c>
      <c r="B27" s="12">
        <f>SUM(B24:B26)</f>
        <v>483</v>
      </c>
      <c r="C27" s="12"/>
      <c r="D27" s="13">
        <f>SUM(D24:D26)</f>
        <v>1174000</v>
      </c>
      <c r="E27" s="13">
        <f>SUM(E24:E26)</f>
        <v>0</v>
      </c>
      <c r="F27" s="13">
        <f>D27-E27</f>
        <v>1174000</v>
      </c>
      <c r="G27" s="14" t="str">
        <f>IF(E27=0,"",E27/D27)</f>
        <v/>
      </c>
      <c r="H27" s="14" t="str">
        <f>IF(E27=0,"",1-E27/D27)</f>
        <v/>
      </c>
    </row>
    <row r="29" spans="1:8" ht="19.5" customHeight="1" x14ac:dyDescent="0.3">
      <c r="A29" s="2" t="s">
        <v>19</v>
      </c>
      <c r="B29" s="2"/>
      <c r="C29" s="2"/>
      <c r="D29" s="2"/>
      <c r="E29" s="2"/>
      <c r="F29" s="2"/>
      <c r="G29" s="2"/>
      <c r="H29" s="2"/>
    </row>
    <row r="30" spans="1:8" ht="15" customHeight="1" x14ac:dyDescent="0.3">
      <c r="A30" s="15"/>
      <c r="B30" s="15"/>
      <c r="C30" s="15"/>
      <c r="D30" s="16" t="s">
        <v>8</v>
      </c>
      <c r="E30" s="16" t="s">
        <v>20</v>
      </c>
      <c r="F30" s="16" t="s">
        <v>10</v>
      </c>
      <c r="G30" s="16" t="s">
        <v>11</v>
      </c>
      <c r="H30" s="16" t="s">
        <v>12</v>
      </c>
    </row>
    <row r="31" spans="1:8" ht="15" customHeight="1" x14ac:dyDescent="0.3">
      <c r="A31" s="8" t="s">
        <v>21</v>
      </c>
      <c r="B31" s="15"/>
      <c r="C31" s="15"/>
      <c r="D31" s="17">
        <f>D13</f>
        <v>1174000</v>
      </c>
      <c r="E31" s="17">
        <f>E13</f>
        <v>0</v>
      </c>
      <c r="F31" s="17">
        <f>D31-E31</f>
        <v>1174000</v>
      </c>
      <c r="G31" s="18" t="str">
        <f>IF(E31=0,"",E31/D31)</f>
        <v/>
      </c>
      <c r="H31" s="18" t="str">
        <f>IF(E31=0,"",1-E31/D31)</f>
        <v/>
      </c>
    </row>
    <row r="32" spans="1:8" ht="15" customHeight="1" x14ac:dyDescent="0.3">
      <c r="A32" s="8" t="s">
        <v>22</v>
      </c>
      <c r="B32" s="15"/>
      <c r="C32" s="15"/>
      <c r="D32" s="17">
        <f>D20</f>
        <v>1174000</v>
      </c>
      <c r="E32" s="17">
        <f>E20</f>
        <v>0</v>
      </c>
      <c r="F32" s="17">
        <f>D32-E32</f>
        <v>1174000</v>
      </c>
      <c r="G32" s="18" t="str">
        <f>IF(E32=0,"",E32/D32)</f>
        <v/>
      </c>
      <c r="H32" s="18" t="str">
        <f>IF(E32=0,"",1-E32/D32)</f>
        <v/>
      </c>
    </row>
    <row r="33" spans="1:8" ht="15" customHeight="1" x14ac:dyDescent="0.3">
      <c r="A33" s="8" t="s">
        <v>23</v>
      </c>
      <c r="B33" s="15"/>
      <c r="C33" s="15"/>
      <c r="D33" s="17">
        <f>D27</f>
        <v>1174000</v>
      </c>
      <c r="E33" s="17">
        <f>E27</f>
        <v>0</v>
      </c>
      <c r="F33" s="17">
        <f>D33-E33</f>
        <v>1174000</v>
      </c>
      <c r="G33" s="18" t="str">
        <f>IF(E33=0,"",E33/D33)</f>
        <v/>
      </c>
      <c r="H33" s="18" t="str">
        <f>IF(E33=0,"",1-E33/D33)</f>
        <v/>
      </c>
    </row>
    <row r="34" spans="1:8" ht="15" customHeight="1" x14ac:dyDescent="0.3">
      <c r="A34" s="12" t="s">
        <v>24</v>
      </c>
      <c r="B34" s="12"/>
      <c r="C34" s="12"/>
      <c r="D34" s="13">
        <f>SUM(D31:D33)</f>
        <v>3522000</v>
      </c>
      <c r="E34" s="13">
        <f>SUM(E31:E33)</f>
        <v>0</v>
      </c>
      <c r="F34" s="13">
        <f>SUM(F31:F33)</f>
        <v>3522000</v>
      </c>
      <c r="G34" s="14" t="str">
        <f>IF(E34=0,"",E34/D34)</f>
        <v/>
      </c>
      <c r="H34" s="14" t="str">
        <f>IF(E34=0,"",1-E34/D34)</f>
        <v/>
      </c>
    </row>
    <row r="36" spans="1:8" ht="19.5" customHeight="1" x14ac:dyDescent="0.3">
      <c r="A36" s="2" t="s">
        <v>25</v>
      </c>
      <c r="B36" s="2"/>
      <c r="C36" s="2"/>
      <c r="D36" s="2"/>
      <c r="E36" s="2"/>
      <c r="F36" s="2"/>
      <c r="G36" s="2"/>
      <c r="H36" s="2"/>
    </row>
    <row r="37" spans="1:8" ht="42" customHeight="1" x14ac:dyDescent="0.3">
      <c r="A37" s="15"/>
      <c r="B37" s="16" t="s">
        <v>26</v>
      </c>
      <c r="C37" s="15"/>
      <c r="D37" s="16" t="s">
        <v>27</v>
      </c>
      <c r="E37" s="16" t="s">
        <v>28</v>
      </c>
      <c r="F37" s="16" t="s">
        <v>29</v>
      </c>
      <c r="G37" s="16" t="s">
        <v>30</v>
      </c>
      <c r="H37" s="16" t="s">
        <v>31</v>
      </c>
    </row>
    <row r="38" spans="1:8" ht="15" customHeight="1" x14ac:dyDescent="0.3">
      <c r="A38" s="8" t="s">
        <v>21</v>
      </c>
      <c r="B38" s="19">
        <v>493000</v>
      </c>
      <c r="C38" s="20" t="s">
        <v>32</v>
      </c>
      <c r="D38" s="17">
        <f>D13</f>
        <v>1174000</v>
      </c>
      <c r="E38" s="17">
        <f>E13</f>
        <v>0</v>
      </c>
      <c r="F38" s="17">
        <f>IF(B38="","",E38-B38)</f>
        <v>-493000</v>
      </c>
      <c r="G38" s="18">
        <f>IF(B38="","",B38/D38)</f>
        <v>0.41993185689948892</v>
      </c>
      <c r="H38" s="18" t="str">
        <f>IF(OR(B38="",E38=0),"",B38/E38)</f>
        <v/>
      </c>
    </row>
    <row r="39" spans="1:8" ht="15" customHeight="1" x14ac:dyDescent="0.3">
      <c r="A39" s="8" t="s">
        <v>22</v>
      </c>
      <c r="B39" s="19">
        <v>389175</v>
      </c>
      <c r="C39" s="20" t="s">
        <v>33</v>
      </c>
      <c r="D39" s="17">
        <f>D20</f>
        <v>1174000</v>
      </c>
      <c r="E39" s="17">
        <f>E20</f>
        <v>0</v>
      </c>
      <c r="F39" s="17">
        <f>IF(B39="","",E39-B39)</f>
        <v>-389175</v>
      </c>
      <c r="G39" s="18">
        <f>IF(B39="","",B39/D39)</f>
        <v>0.33149488926746168</v>
      </c>
      <c r="H39" s="18" t="str">
        <f>IF(OR(B39="",E39=0),"",B39/E39)</f>
        <v/>
      </c>
    </row>
    <row r="40" spans="1:8" ht="15" customHeight="1" x14ac:dyDescent="0.3">
      <c r="A40" s="8" t="s">
        <v>23</v>
      </c>
      <c r="B40" s="19"/>
      <c r="C40" s="20" t="s">
        <v>34</v>
      </c>
      <c r="D40" s="17">
        <f>D27</f>
        <v>1174000</v>
      </c>
      <c r="E40" s="17">
        <f>E27</f>
        <v>0</v>
      </c>
      <c r="F40" s="17" t="str">
        <f>IF(B40="","",E40-B40)</f>
        <v/>
      </c>
      <c r="G40" s="18" t="str">
        <f>IF(B40="","",B40/D40)</f>
        <v/>
      </c>
      <c r="H40" s="18" t="str">
        <f>IF(OR(B40="",E40=0),"",B40/E40)</f>
        <v/>
      </c>
    </row>
  </sheetData>
  <mergeCells count="9">
    <mergeCell ref="A15:H15"/>
    <mergeCell ref="A22:H22"/>
    <mergeCell ref="A29:H29"/>
    <mergeCell ref="A36:H36"/>
    <mergeCell ref="C2:H2"/>
    <mergeCell ref="C3:H3"/>
    <mergeCell ref="C4:H4"/>
    <mergeCell ref="C5:H5"/>
    <mergeCell ref="A8:H8"/>
  </mergeCells>
  <pageMargins left="0.25" right="0.25" top="0.75" bottom="0.75" header="0.3" footer="0.3"/>
  <pageSetup paperSize="9" fitToWidth="0" orientation="portrait" horizontalDpi="4294967293" verticalDpi="3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5"/>
  <sheetViews>
    <sheetView tabSelected="1" zoomScaleNormal="100" workbookViewId="0">
      <pane ySplit="3" topLeftCell="A4" activePane="bottomLeft" state="frozen"/>
      <selection pane="bottomLeft" activeCell="A2" sqref="A2:XFD2"/>
    </sheetView>
  </sheetViews>
  <sheetFormatPr defaultColWidth="8.6640625" defaultRowHeight="14.4" x14ac:dyDescent="0.3"/>
  <cols>
    <col min="1" max="1" width="12" customWidth="1"/>
    <col min="2" max="3" width="22" customWidth="1"/>
    <col min="4" max="4" width="12" customWidth="1"/>
  </cols>
  <sheetData>
    <row r="1" spans="1:4" ht="21.75" customHeight="1" x14ac:dyDescent="0.3">
      <c r="A1" s="1" t="s">
        <v>35</v>
      </c>
      <c r="B1" s="1"/>
      <c r="C1" s="1"/>
      <c r="D1" s="1"/>
    </row>
    <row r="3" spans="1:4" x14ac:dyDescent="0.3">
      <c r="A3" s="21" t="s">
        <v>5</v>
      </c>
      <c r="B3" s="21" t="s">
        <v>36</v>
      </c>
      <c r="C3" s="21" t="s">
        <v>37</v>
      </c>
      <c r="D3" s="21" t="s">
        <v>38</v>
      </c>
    </row>
    <row r="4" spans="1:4" x14ac:dyDescent="0.3">
      <c r="A4" s="22" t="s">
        <v>39</v>
      </c>
      <c r="B4" s="8" t="s">
        <v>40</v>
      </c>
      <c r="C4" s="8" t="s">
        <v>41</v>
      </c>
      <c r="D4" s="8">
        <v>31</v>
      </c>
    </row>
    <row r="5" spans="1:4" x14ac:dyDescent="0.3">
      <c r="A5" s="22" t="s">
        <v>39</v>
      </c>
      <c r="B5" s="8" t="s">
        <v>42</v>
      </c>
      <c r="C5" s="8" t="s">
        <v>43</v>
      </c>
      <c r="D5" s="8">
        <v>39</v>
      </c>
    </row>
    <row r="6" spans="1:4" x14ac:dyDescent="0.3">
      <c r="A6" s="22" t="s">
        <v>39</v>
      </c>
      <c r="B6" s="8" t="s">
        <v>44</v>
      </c>
      <c r="C6" s="8" t="s">
        <v>45</v>
      </c>
      <c r="D6" s="8">
        <v>30</v>
      </c>
    </row>
    <row r="7" spans="1:4" x14ac:dyDescent="0.3">
      <c r="A7" s="23"/>
      <c r="B7" s="12" t="s">
        <v>46</v>
      </c>
      <c r="C7" s="23"/>
      <c r="D7" s="12">
        <f>SUM(D4:D6)</f>
        <v>100</v>
      </c>
    </row>
    <row r="8" spans="1:4" x14ac:dyDescent="0.3">
      <c r="A8" s="24" t="s">
        <v>14</v>
      </c>
      <c r="B8" s="8" t="s">
        <v>47</v>
      </c>
      <c r="C8" s="8" t="s">
        <v>48</v>
      </c>
      <c r="D8" s="8">
        <v>27</v>
      </c>
    </row>
    <row r="9" spans="1:4" x14ac:dyDescent="0.3">
      <c r="A9" s="24" t="s">
        <v>14</v>
      </c>
      <c r="B9" s="8" t="s">
        <v>49</v>
      </c>
      <c r="C9" s="8" t="s">
        <v>50</v>
      </c>
      <c r="D9" s="8">
        <v>31</v>
      </c>
    </row>
    <row r="10" spans="1:4" x14ac:dyDescent="0.3">
      <c r="A10" s="24" t="s">
        <v>14</v>
      </c>
      <c r="B10" s="8" t="s">
        <v>51</v>
      </c>
      <c r="C10" s="8" t="s">
        <v>52</v>
      </c>
      <c r="D10" s="8">
        <v>25</v>
      </c>
    </row>
    <row r="11" spans="1:4" x14ac:dyDescent="0.3">
      <c r="A11" s="24" t="s">
        <v>14</v>
      </c>
      <c r="B11" s="8" t="s">
        <v>53</v>
      </c>
      <c r="C11" s="8" t="s">
        <v>54</v>
      </c>
      <c r="D11" s="8">
        <v>34</v>
      </c>
    </row>
    <row r="12" spans="1:4" x14ac:dyDescent="0.3">
      <c r="A12" s="24" t="s">
        <v>14</v>
      </c>
      <c r="B12" s="8" t="s">
        <v>55</v>
      </c>
      <c r="C12" s="8" t="s">
        <v>56</v>
      </c>
      <c r="D12" s="8">
        <v>26</v>
      </c>
    </row>
    <row r="13" spans="1:4" x14ac:dyDescent="0.3">
      <c r="A13" s="24" t="s">
        <v>14</v>
      </c>
      <c r="B13" s="8" t="s">
        <v>57</v>
      </c>
      <c r="C13" s="8" t="s">
        <v>58</v>
      </c>
      <c r="D13" s="8">
        <v>35</v>
      </c>
    </row>
    <row r="14" spans="1:4" x14ac:dyDescent="0.3">
      <c r="A14" s="24" t="s">
        <v>14</v>
      </c>
      <c r="B14" s="8" t="s">
        <v>59</v>
      </c>
      <c r="C14" s="8" t="s">
        <v>60</v>
      </c>
      <c r="D14" s="8">
        <v>42</v>
      </c>
    </row>
    <row r="15" spans="1:4" x14ac:dyDescent="0.3">
      <c r="A15" s="23"/>
      <c r="B15" s="12" t="s">
        <v>61</v>
      </c>
      <c r="C15" s="23"/>
      <c r="D15" s="12">
        <f>SUM(D8:D14)</f>
        <v>220</v>
      </c>
    </row>
    <row r="16" spans="1:4" x14ac:dyDescent="0.3">
      <c r="A16" s="25" t="s">
        <v>15</v>
      </c>
      <c r="B16" s="8" t="s">
        <v>62</v>
      </c>
      <c r="C16" s="8" t="s">
        <v>63</v>
      </c>
      <c r="D16" s="8">
        <v>16</v>
      </c>
    </row>
    <row r="17" spans="1:4" x14ac:dyDescent="0.3">
      <c r="A17" s="25" t="s">
        <v>15</v>
      </c>
      <c r="B17" s="8" t="s">
        <v>64</v>
      </c>
      <c r="C17" s="8" t="s">
        <v>65</v>
      </c>
      <c r="D17" s="8">
        <v>19</v>
      </c>
    </row>
    <row r="18" spans="1:4" x14ac:dyDescent="0.3">
      <c r="A18" s="25" t="s">
        <v>15</v>
      </c>
      <c r="B18" s="8" t="s">
        <v>66</v>
      </c>
      <c r="C18" s="8" t="s">
        <v>67</v>
      </c>
      <c r="D18" s="8">
        <v>22</v>
      </c>
    </row>
    <row r="19" spans="1:4" x14ac:dyDescent="0.3">
      <c r="A19" s="25" t="s">
        <v>15</v>
      </c>
      <c r="B19" s="8" t="s">
        <v>68</v>
      </c>
      <c r="C19" s="8" t="s">
        <v>69</v>
      </c>
      <c r="D19" s="8">
        <v>17</v>
      </c>
    </row>
    <row r="20" spans="1:4" x14ac:dyDescent="0.3">
      <c r="A20" s="25" t="s">
        <v>15</v>
      </c>
      <c r="B20" s="8" t="s">
        <v>70</v>
      </c>
      <c r="C20" s="8" t="s">
        <v>71</v>
      </c>
      <c r="D20" s="8">
        <v>29</v>
      </c>
    </row>
    <row r="21" spans="1:4" x14ac:dyDescent="0.3">
      <c r="A21" s="25" t="s">
        <v>15</v>
      </c>
      <c r="B21" s="8" t="s">
        <v>72</v>
      </c>
      <c r="C21" s="8" t="s">
        <v>73</v>
      </c>
      <c r="D21" s="8">
        <v>25</v>
      </c>
    </row>
    <row r="22" spans="1:4" x14ac:dyDescent="0.3">
      <c r="A22" s="25" t="s">
        <v>15</v>
      </c>
      <c r="B22" s="8" t="s">
        <v>74</v>
      </c>
      <c r="C22" s="8" t="s">
        <v>75</v>
      </c>
      <c r="D22" s="8">
        <v>17</v>
      </c>
    </row>
    <row r="23" spans="1:4" x14ac:dyDescent="0.3">
      <c r="A23" s="25" t="s">
        <v>15</v>
      </c>
      <c r="B23" s="8" t="s">
        <v>76</v>
      </c>
      <c r="C23" s="8" t="s">
        <v>77</v>
      </c>
      <c r="D23" s="8">
        <v>18</v>
      </c>
    </row>
    <row r="24" spans="1:4" x14ac:dyDescent="0.3">
      <c r="A24" s="23"/>
      <c r="B24" s="12" t="s">
        <v>78</v>
      </c>
      <c r="C24" s="23"/>
      <c r="D24" s="12">
        <f>SUM(D16:D23)</f>
        <v>163</v>
      </c>
    </row>
    <row r="25" spans="1:4" x14ac:dyDescent="0.3">
      <c r="A25" s="26"/>
      <c r="B25" s="27" t="s">
        <v>79</v>
      </c>
      <c r="C25" s="26"/>
      <c r="D25" s="27">
        <f>D7+D15+D24</f>
        <v>483</v>
      </c>
    </row>
  </sheetData>
  <mergeCells count="1">
    <mergeCell ref="A1:D1"/>
  </mergeCells>
  <pageMargins left="0.75" right="0.75" top="1" bottom="1" header="0.511811023622047" footer="0.511811023622047"/>
  <pageSetup paperSize="9" orientation="portrait" horizontalDpi="4294967293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Fee Collection Tracker</vt:lpstr>
      <vt:lpstr>Population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Blessmore Mulenga</cp:lastModifiedBy>
  <cp:revision>0</cp:revision>
  <cp:lastPrinted>2026-08-13T21:15:06Z</cp:lastPrinted>
  <dcterms:created xsi:type="dcterms:W3CDTF">2026-08-13T20:40:29Z</dcterms:created>
  <dcterms:modified xsi:type="dcterms:W3CDTF">2026-08-13T22:05:01Z</dcterms:modified>
  <dc:language>en-US</dc:language>
</cp:coreProperties>
</file>